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นวณ kW-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3E8FF"/>
      <sz val="10"/>
    </font>
    <font>
      <name val="Segoe UI"/>
      <b val="1"/>
      <color rgb="00581C87"/>
      <sz val="10"/>
    </font>
    <font>
      <name val="Segoe UI"/>
      <b val="1"/>
      <color rgb="004C1D95"/>
      <sz val="12"/>
    </font>
    <font>
      <name val="Segoe UI"/>
      <b val="1"/>
      <color rgb="001E293B"/>
      <sz val="11"/>
    </font>
    <font>
      <name val="Segoe UI"/>
      <b val="1"/>
      <color rgb="000F172A"/>
      <sz val="13"/>
    </font>
    <font>
      <name val="Segoe UI"/>
      <color rgb="00475569"/>
      <sz val="11"/>
    </font>
    <font>
      <name val="Segoe UI"/>
      <i val="1"/>
      <color rgb="0064748B"/>
      <sz val="9"/>
    </font>
    <font>
      <name val="Segoe UI"/>
      <b val="1"/>
      <color rgb="00166534"/>
      <sz val="12"/>
    </font>
    <font>
      <name val="Segoe UI"/>
      <b val="1"/>
      <color rgb="0015803D"/>
      <sz val="14"/>
    </font>
    <font>
      <name val="Segoe UI"/>
      <b val="1"/>
      <color rgb="00166534"/>
      <sz val="11"/>
    </font>
    <font>
      <name val="Segoe UI"/>
      <b val="1"/>
      <color rgb="0015803D"/>
      <sz val="9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b val="1"/>
      <color rgb="000F172A"/>
      <sz val="11"/>
    </font>
    <font>
      <name val="Segoe UI"/>
      <b val="1"/>
      <color rgb="0015803D"/>
      <sz val="12"/>
    </font>
    <font>
      <name val="Segoe UI"/>
      <b val="1"/>
      <color rgb="0064748B"/>
      <sz val="10"/>
    </font>
  </fonts>
  <fills count="10">
    <fill>
      <patternFill/>
    </fill>
    <fill>
      <patternFill patternType="gray125"/>
    </fill>
    <fill>
      <patternFill patternType="solid">
        <fgColor rgb="00581C87"/>
        <bgColor rgb="00581C87"/>
      </patternFill>
    </fill>
    <fill>
      <patternFill patternType="solid">
        <fgColor rgb="00F3E8FF"/>
        <bgColor rgb="00F3E8FF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F0FDF4"/>
        <bgColor rgb="00F0FDF4"/>
      </patternFill>
    </fill>
    <fill>
      <patternFill patternType="solid">
        <fgColor rgb="00DCFCE7"/>
        <bgColor rgb="00DCFCE7"/>
      </patternFill>
    </fill>
    <fill>
      <patternFill patternType="solid">
        <fgColor rgb="007E22CE"/>
        <bgColor rgb="007E22CE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top style="thin">
        <color rgb="00D8B4FE"/>
      </top>
      <bottom style="thin">
        <color rgb="00D8B4FE"/>
      </bottom>
    </border>
    <border>
      <left style="medium">
        <color rgb="00CA8A04"/>
      </left>
      <right style="medium">
        <color rgb="00CA8A04"/>
      </right>
      <top style="medium">
        <color rgb="00CA8A04"/>
      </top>
      <bottom style="medium">
        <color rgb="00CA8A04"/>
      </bottom>
    </border>
    <border>
      <left style="medium">
        <color rgb="0016A34A"/>
      </left>
      <right style="medium">
        <color rgb="0016A34A"/>
      </right>
      <top style="medium">
        <color rgb="0016A34A"/>
      </top>
      <bottom style="double">
        <color rgb="0016A34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47556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4" applyAlignment="1" pivotButton="0" quotePrefix="0" xfId="0">
      <alignment horizontal="left" vertical="center" indent="1"/>
    </xf>
    <xf numFmtId="0" fontId="0" fillId="0" borderId="4" pivotButton="0" quotePrefix="0" xfId="0"/>
    <xf numFmtId="4" fontId="6" fillId="5" borderId="2" applyAlignment="1" pivotButton="0" quotePrefix="0" xfId="0">
      <alignment horizontal="right" vertical="center"/>
    </xf>
    <xf numFmtId="0" fontId="7" fillId="4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6" borderId="4" applyAlignment="1" pivotButton="0" quotePrefix="0" xfId="0">
      <alignment horizontal="left" vertical="center" indent="1"/>
    </xf>
    <xf numFmtId="4" fontId="10" fillId="7" borderId="3" applyAlignment="1" pivotButton="0" quotePrefix="0" xfId="0">
      <alignment horizontal="right" vertical="center"/>
    </xf>
    <xf numFmtId="0" fontId="11" fillId="6" borderId="4" applyAlignment="1" pivotButton="0" quotePrefix="0" xfId="0">
      <alignment horizontal="left" vertical="center"/>
    </xf>
    <xf numFmtId="0" fontId="12" fillId="6" borderId="4" applyAlignment="1" pivotButton="0" quotePrefix="0" xfId="0">
      <alignment horizontal="left" vertical="center"/>
    </xf>
    <xf numFmtId="0" fontId="13" fillId="8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4" fontId="14" fillId="5" borderId="4" applyAlignment="1" pivotButton="0" quotePrefix="0" xfId="0">
      <alignment horizontal="right" vertical="center"/>
    </xf>
    <xf numFmtId="4" fontId="15" fillId="0" borderId="4" applyAlignment="1" pivotButton="0" quotePrefix="0" xfId="0">
      <alignment horizontal="right" vertical="center"/>
    </xf>
    <xf numFmtId="0" fontId="16" fillId="9" borderId="5" applyAlignment="1" pivotButton="0" quotePrefix="0" xfId="0">
      <alignment horizontal="right" vertical="center"/>
    </xf>
    <xf numFmtId="0" fontId="0" fillId="0" borderId="5" pivotButton="0" quotePrefix="0" xfId="0"/>
    <xf numFmtId="4" fontId="16" fillId="9" borderId="5" applyAlignment="1" pivotButton="0" quotePrefix="0" xfId="0">
      <alignment horizontal="right" vertical="center"/>
    </xf>
    <xf numFmtId="4" fontId="17" fillId="7" borderId="5" applyAlignment="1" pivotButton="0" quotePrefix="0" xfId="0">
      <alignment horizontal="right" vertical="center"/>
    </xf>
    <xf numFmtId="0" fontId="18" fillId="9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1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28" customWidth="1" min="3" max="3"/>
    <col width="20" customWidth="1" min="4" max="4"/>
    <col width="22" customWidth="1" min="5" max="5"/>
    <col width="22" customWidth="1" min="6" max="6"/>
    <col width="25" customWidth="1" min="7" max="7"/>
  </cols>
  <sheetData>
    <row r="1" ht="10" customHeight="1"/>
    <row r="2" ht="32" customHeight="1">
      <c r="B2" s="1" t="inlineStr">
        <is>
          <t>⚡ แบบคำนวณหาหน่วยผลิตไฟฟ้า (kW/h) จากกระแสและชั่วโมงการเดินเครื่อง</t>
        </is>
      </c>
    </row>
    <row r="3" ht="22" customHeight="1">
      <c r="B3" s="2" t="inlineStr">
        <is>
          <t>การไฟฟ้าส่วนภูมิภาค (PEA) | เครื่องยนต์กำเนิดไฟฟ้า (Mobile Generator Unit)</t>
        </is>
      </c>
    </row>
    <row r="4" ht="24" customHeight="1">
      <c r="B4" s="3" t="inlineStr">
        <is>
          <t>สูตรคำนวณ:  หน่วยผลิต (kW/h) = ( I ÷ 2 ) × 0.55424 × H</t>
        </is>
      </c>
      <c r="C4" s="4" t="n"/>
      <c r="D4" s="4" t="n"/>
      <c r="E4" s="4" t="n"/>
      <c r="F4" s="4" t="n"/>
      <c r="G4" s="4" t="n"/>
    </row>
    <row r="5" ht="12" customHeight="1"/>
    <row r="6" ht="26" customHeight="1">
      <c r="B6" s="5" t="inlineStr">
        <is>
          <t>📋 กรอบคำนวณหาหน่วยผลิตไฟฟ้า (กรอกข้อมูลในช่องสีเหลือง)</t>
        </is>
      </c>
    </row>
    <row r="7" ht="30" customHeight="1">
      <c r="B7" s="6" t="inlineStr">
        <is>
          <t>1. I กระแสสูงสุดของเฟสใดเฟสหนึ่ง =</t>
        </is>
      </c>
      <c r="C7" s="7" t="n"/>
      <c r="D7" s="7" t="n"/>
      <c r="E7" s="8" t="n">
        <v>200</v>
      </c>
      <c r="F7" s="9" t="inlineStr">
        <is>
          <t>A (แอมแปร์)</t>
        </is>
      </c>
      <c r="G7" s="10" t="inlineStr">
        <is>
          <t>✎ กรอกกระแสไฟฟ้า (A)</t>
        </is>
      </c>
    </row>
    <row r="8" ht="30" customHeight="1">
      <c r="B8" s="6" t="inlineStr">
        <is>
          <t>2. H จำนวนชั่วโมงการเดินเครื่อง =</t>
        </is>
      </c>
      <c r="C8" s="7" t="n"/>
      <c r="D8" s="7" t="n"/>
      <c r="E8" s="8" t="n">
        <v>7</v>
      </c>
      <c r="F8" s="9" t="inlineStr">
        <is>
          <t>ชม. (h)</t>
        </is>
      </c>
      <c r="G8" s="10" t="inlineStr">
        <is>
          <t>✎ กรอกชั่วโมงเดินเครื่อง (h)</t>
        </is>
      </c>
    </row>
    <row r="9" ht="34" customHeight="1">
      <c r="B9" s="11" t="inlineStr">
        <is>
          <t>3. หน่วยผลิต kw/h =</t>
        </is>
      </c>
      <c r="C9" s="7" t="n"/>
      <c r="D9" s="7" t="n"/>
      <c r="E9" s="12">
        <f>IF(OR(E7="",E8=""),0,SUM((E7/2)*0.55424*E8))</f>
        <v/>
      </c>
      <c r="F9" s="13" t="inlineStr">
        <is>
          <t>kw/h</t>
        </is>
      </c>
      <c r="G9" s="14" t="inlineStr">
        <is>
          <t>✓ คำนวณอัตโนมัติ</t>
        </is>
      </c>
    </row>
    <row r="10" ht="14" customHeight="1"/>
    <row r="11" ht="12" customHeight="1"/>
    <row r="12" ht="26" customHeight="1">
      <c r="B12" s="5" t="inlineStr">
        <is>
          <t>📊 ตารางบันทึกและคำนวณการเดินเครื่องหลายช่วงเวลา / หลายวัน (Multi-Period Log)</t>
        </is>
      </c>
    </row>
    <row r="13" ht="28" customHeight="1">
      <c r="B13" s="15" t="inlineStr">
        <is>
          <t>ลำดับ</t>
        </is>
      </c>
      <c r="C13" s="15" t="inlineStr">
        <is>
          <t>วันที่ / ช่วงเวลาเดินเครื่อง</t>
        </is>
      </c>
      <c r="D13" s="15" t="inlineStr">
        <is>
          <t>กระแสสูงสุด I (A)</t>
        </is>
      </c>
      <c r="E13" s="15" t="inlineStr">
        <is>
          <t>ชั่วโมงเดินเครื่อง H (ชม.)</t>
        </is>
      </c>
      <c r="F13" s="15" t="inlineStr">
        <is>
          <t>หน่วยผลิต (kW/h)</t>
        </is>
      </c>
      <c r="G13" s="15" t="inlineStr">
        <is>
          <t>หมายเหตุ / งาน</t>
        </is>
      </c>
    </row>
    <row r="14" ht="26" customHeight="1">
      <c r="B14" s="16" t="n">
        <v>1</v>
      </c>
      <c r="C14" s="17" t="inlineStr">
        <is>
          <t>ช่วงเช้า (ตัวอย่าง)</t>
        </is>
      </c>
      <c r="D14" s="18" t="n">
        <v>180</v>
      </c>
      <c r="E14" s="18" t="n">
        <v>4</v>
      </c>
      <c r="F14" s="19">
        <f>IF(OR(D14="",E14=""),"",SUM((D14/2)*0.55424*E14))</f>
        <v/>
      </c>
      <c r="G14" s="17" t="inlineStr">
        <is>
          <t>ทดสอบระบบ</t>
        </is>
      </c>
    </row>
    <row r="15" ht="26" customHeight="1">
      <c r="B15" s="16" t="n">
        <v>2</v>
      </c>
      <c r="C15" s="17" t="inlineStr">
        <is>
          <t>ช่วงบ่าย (ตัวอย่าง)</t>
        </is>
      </c>
      <c r="D15" s="18" t="n">
        <v>210</v>
      </c>
      <c r="E15" s="18" t="n">
        <v>3.5</v>
      </c>
      <c r="F15" s="19">
        <f>IF(OR(D15="",E15=""),"",SUM((D15/2)*0.55424*E15))</f>
        <v/>
      </c>
      <c r="G15" s="17" t="inlineStr">
        <is>
          <t>จ่ายไฟฉุกเฉิน</t>
        </is>
      </c>
    </row>
    <row r="16" ht="26" customHeight="1">
      <c r="B16" s="16" t="n">
        <v>3</v>
      </c>
      <c r="C16" s="17" t="inlineStr"/>
      <c r="D16" s="18" t="n"/>
      <c r="E16" s="18" t="n"/>
      <c r="F16" s="19">
        <f>IF(OR(D16="",E16=""),"",SUM((D16/2)*0.55424*E16))</f>
        <v/>
      </c>
      <c r="G16" s="17" t="inlineStr"/>
    </row>
    <row r="17" ht="26" customHeight="1">
      <c r="B17" s="16" t="n">
        <v>4</v>
      </c>
      <c r="C17" s="17" t="inlineStr"/>
      <c r="D17" s="18" t="n"/>
      <c r="E17" s="18" t="n"/>
      <c r="F17" s="19">
        <f>IF(OR(D17="",E17=""),"",SUM((D17/2)*0.55424*E17))</f>
        <v/>
      </c>
      <c r="G17" s="17" t="inlineStr"/>
    </row>
    <row r="18" ht="26" customHeight="1">
      <c r="B18" s="16" t="n">
        <v>5</v>
      </c>
      <c r="C18" s="17" t="inlineStr"/>
      <c r="D18" s="18" t="n"/>
      <c r="E18" s="18" t="n"/>
      <c r="F18" s="19">
        <f>IF(OR(D18="",E18=""),"",SUM((D18/2)*0.55424*E18))</f>
        <v/>
      </c>
      <c r="G18" s="17" t="inlineStr"/>
    </row>
    <row r="19" ht="26" customHeight="1">
      <c r="B19" s="20" t="inlineStr">
        <is>
          <t>รวมทั้งหมด (Total)</t>
        </is>
      </c>
      <c r="C19" s="21" t="n"/>
      <c r="D19" s="21" t="n"/>
      <c r="E19" s="22">
        <f>SUM(E14:E18)</f>
        <v/>
      </c>
      <c r="F19" s="23">
        <f>SUM(F14:F18)</f>
        <v/>
      </c>
      <c r="G19" s="24" t="inlineStr">
        <is>
          <t>kW/h สะสม</t>
        </is>
      </c>
    </row>
  </sheetData>
  <mergeCells count="9">
    <mergeCell ref="B3:G3"/>
    <mergeCell ref="B2:G2"/>
    <mergeCell ref="B19:D19"/>
    <mergeCell ref="B8:D8"/>
    <mergeCell ref="B9:D9"/>
    <mergeCell ref="B4:G4"/>
    <mergeCell ref="B12:G12"/>
    <mergeCell ref="B7:D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2026-09-25T07:47:14Z</dcterms:created>
  <dcterms:modified xmlns:dcterms="http://purl.org/dc/terms/" xmlns:xsi="http://www.w3.org/2001/XMLSchema-instance" xsi:type="dcterms:W3CDTF">2026-09-25T07:47:14Z</dcterms:modified>
</cp:coreProperties>
</file>